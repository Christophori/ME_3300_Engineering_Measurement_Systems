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M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<sst xmlns="http://schemas.openxmlformats.org/spreadsheetml/2006/main" count="74" uniqueCount="74">
  <si>
    <t xml:space="preserve">ME 3300 Thrust-Stand Labs (Exp 09 &amp; 10) — Procurement BOM</t>
  </si>
  <si>
    <t xml:space="preserve">15 stations, teams of 2. Prices are July-2026 estimates from web listings (Amazon/GetFPV/SparkFun class) — verify at order time. Blue cells are editable inputs; totals recalculate.</t>
  </si>
  <si>
    <t xml:space="preserve">Stations to outfit:</t>
  </si>
  <si>
    <t xml:space="preserve">Item</t>
  </si>
  <si>
    <t xml:space="preserve">Spec / example part</t>
  </si>
  <si>
    <t xml:space="preserve">Qty per station</t>
  </si>
  <si>
    <t xml:space="preserve">Spares (lot)</t>
  </si>
  <si>
    <t xml:space="preserve">Total qty</t>
  </si>
  <si>
    <t xml:space="preserve">Unit est. ($)</t>
  </si>
  <si>
    <t xml:space="preserve">Extended ($)</t>
  </si>
  <si>
    <t xml:space="preserve">Notes / source</t>
  </si>
  <si>
    <t xml:space="preserve">BLDC motor</t>
  </si>
  <si>
    <t xml:space="preserve">1105/1106-class, 3800–6000 KV, 2–4S (sold in 4-packs, ~$30/4)</t>
  </si>
  <si>
    <t xml:space="preserve">BETAFPV 1105 or similar; spares matter — students crash shafts</t>
  </si>
  <si>
    <t xml:space="preserve">ESC</t>
  </si>
  <si>
    <t xml:space="preserve">20–30 A BLHeli_S, 2–4S, with connectors</t>
  </si>
  <si>
    <t xml:space="preserve">Readytosky/Hobbywing class; oneshot not needed, plain 50 Hz PWM</t>
  </si>
  <si>
    <t xml:space="preserve">Propeller A</t>
  </si>
  <si>
    <t xml:space="preserve">3016 two-blade, 1.5 mm shaft (pack of 8+)</t>
  </si>
  <si>
    <t xml:space="preserve">Consumable — order 3× packs; count is prop SETS</t>
  </si>
  <si>
    <t xml:space="preserve">Propeller B</t>
  </si>
  <si>
    <t xml:space="preserve">3030 three-blade (pack of 8+)</t>
  </si>
  <si>
    <t xml:space="preserve">Same motor shaft; contrast prop for the comparison</t>
  </si>
  <si>
    <t xml:space="preserve">Load cell</t>
  </si>
  <si>
    <t xml:space="preserve">1 kg straight-bar, full bridge (TAL220B / YZC-131 class)</t>
  </si>
  <si>
    <t xml:space="preserve">1 kg range: ~2.5x max thrust, good resolution</t>
  </si>
  <si>
    <t xml:space="preserve">Instrumentation amp</t>
  </si>
  <si>
    <t xml:space="preserve">AD620 breakout module, adjustable gain</t>
  </si>
  <si>
    <t xml:space="preserve">Powered from ADS ±5 V rails; set gain ≈ 200 (see rig brief)</t>
  </si>
  <si>
    <t xml:space="preserve">Current sensor</t>
  </si>
  <si>
    <t xml:space="preserve">ACS712-20A hall-effect module (analog out)</t>
  </si>
  <si>
    <t xml:space="preserve">100 mV/A; isolated from motor power path</t>
  </si>
  <si>
    <t xml:space="preserve">Power supply</t>
  </si>
  <si>
    <t xml:space="preserve">12 V / 10 A AC-DC brick + panel barrel jack</t>
  </si>
  <si>
    <t xml:space="preserve">LED-driver class; 10 A leaves margin over ~7 A max draw at 70%</t>
  </si>
  <si>
    <t xml:space="preserve">Kill switch + fuse</t>
  </si>
  <si>
    <t xml:space="preserve">DC rocker/toggle ≥10 A + inline fuse holder + 10 A fuse</t>
  </si>
  <si>
    <t xml:space="preserve">Hardware cutoff independent of software — non-negotiable</t>
  </si>
  <si>
    <t xml:space="preserve">Connectors &amp; wire</t>
  </si>
  <si>
    <t xml:space="preserve">XT60 pairs, 3.5 mm bullets, 16 AWG silicone wire share</t>
  </si>
  <si>
    <t xml:space="preserve">Per-station share of a bulk kit</t>
  </si>
  <si>
    <t xml:space="preserve">Rig structure</t>
  </si>
  <si>
    <t xml:space="preserve">Alu angle/extrusion, motor mount plate, mass platform, fasteners</t>
  </si>
  <si>
    <t xml:space="preserve">In-house fabrication stock; see Rig Design Brief</t>
  </si>
  <si>
    <t xml:space="preserve">Prop guard</t>
  </si>
  <si>
    <t xml:space="preserve">3D-printed ring/cage or polycarbonate shroud</t>
  </si>
  <si>
    <t xml:space="preserve">Print in-house; spares for cracked guards</t>
  </si>
  <si>
    <t xml:space="preserve">Calibration masses</t>
  </si>
  <si>
    <t xml:space="preserve">Slotted set: 50/100/200/500 g (or shared class sets)</t>
  </si>
  <si>
    <t xml:space="preserve">One set per station keeps Part-3 fast</t>
  </si>
  <si>
    <t xml:space="preserve">Shared consumables (lot)</t>
  </si>
  <si>
    <t xml:space="preserve">Threadlocker, heat shrink, zip ties, prop wrenches, spare jumper wires</t>
  </si>
  <si>
    <t xml:space="preserve">CORE SUBTOTAL</t>
  </si>
  <si>
    <t xml:space="preserve">OPTIONAL / PHASE-2 (course-fee upgrades — mainly benefits Lab 10)</t>
  </si>
  <si>
    <t xml:space="preserve">Optical RPM sensors</t>
  </si>
  <si>
    <t xml:space="preserve">TCRT5000 IR reflectance modules (10-pack ≈ $12)</t>
  </si>
  <si>
    <t xml:space="preserve">2 packs</t>
  </si>
  <si>
    <t xml:space="preserve">Direct RPM for thrust = k·RPM² fits; else use motor-phase frequency trick</t>
  </si>
  <si>
    <t xml:space="preserve">Extra prop assortment</t>
  </si>
  <si>
    <t xml:space="preserve">2-blade/3-blade, varied pitch, 2.5–3 in</t>
  </si>
  <si>
    <t xml:space="preserve">1 lot</t>
  </si>
  <si>
    <t xml:space="preserve">Lets teams explore beyond the A/B pair</t>
  </si>
  <si>
    <t xml:space="preserve">IR thermometer</t>
  </si>
  <si>
    <t xml:space="preserve">Handheld, for motor temperature checks between runs</t>
  </si>
  <si>
    <t xml:space="preserve">2</t>
  </si>
  <si>
    <t xml:space="preserve">Repeatability teaching aid: temperature is the drift</t>
  </si>
  <si>
    <t xml:space="preserve">Demo hover platform</t>
  </si>
  <si>
    <t xml:space="preserve">Bitcraze Crazyflie 2.1 + Flow deck (1 unit, demo)</t>
  </si>
  <si>
    <t xml:space="preserve">1</t>
  </si>
  <si>
    <t xml:space="preserve">End-of-course demo tying Lab 10 to closed-loop flight</t>
  </si>
  <si>
    <t xml:space="preserve">OPTIONAL SUBTOTAL</t>
  </si>
  <si>
    <t xml:space="preserve">GRAND TOTAL (core + optional)</t>
  </si>
  <si>
    <t xml:space="preserve">Legend</t>
  </si>
  <si>
    <t xml:space="preserve">Blue = editable input (unit price, quantities, station count B4). Yellow = key results/inputs. All totals are formulas.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</si>
</sst>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.00"/>
    <numFmt numFmtId="166" formatCode="\$#,##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9"/>
      <name val="Arial"/>
      <family val="0"/>
      <charset val="1"/>
    </font>
    <font>
      <b val="true"/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305496"/>
        <bgColor rgb="FF666699"/>
      </patternFill>
    </fill>
    <fill>
      <patternFill patternType="solid">
        <fgColor rgb="FFDDDDDD"/>
        <bgColor rgb="FFCC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6"/>
    <col collapsed="false" customWidth="true" hidden="false" outlineLevel="0" max="3" min="3" style="0" width="11"/>
    <col collapsed="false" customWidth="true" hidden="false" outlineLevel="0" max="4" min="4" style="0" width="10"/>
    <col collapsed="false" customWidth="true" hidden="false" outlineLevel="0" max="5" min="5" style="0" width="9"/>
    <col collapsed="false" customWidth="true" hidden="false" outlineLevel="0" max="6" min="6" style="0" width="11"/>
    <col collapsed="false" customWidth="true" hidden="false" outlineLevel="0" max="7" min="7" style="0" width="12"/>
    <col collapsed="false" customWidth="true" hidden="false" outlineLevel="0" max="8" min="8" style="0" width="4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n">
        <v>15</v>
      </c>
    </row>
    <row r="6" customFormat="false" ht="23.85" hidden="false" customHeight="false" outlineLevel="0" collapsed="false">
      <c r="A6" s="5" t="s">
        <v>3</v>
      </c>
      <c r="B6" s="5" t="s">
        <v>4</v>
      </c>
      <c r="C6" s="5" t="s">
        <v>5</v>
      </c>
      <c r="D6" s="5" t="s">
        <v>6</v>
      </c>
      <c r="E6" s="5" t="s">
        <v>7</v>
      </c>
      <c r="F6" s="5" t="s">
        <v>8</v>
      </c>
      <c r="G6" s="5" t="s">
        <v>9</v>
      </c>
      <c r="H6" s="5" t="s">
        <v>10</v>
      </c>
    </row>
    <row r="7" customFormat="false" ht="23.85" hidden="false" customHeight="false" outlineLevel="0" collapsed="false">
      <c r="A7" s="6" t="s">
        <v>11</v>
      </c>
      <c r="B7" s="7" t="s">
        <v>12</v>
      </c>
      <c r="C7" s="8" t="n">
        <v>1</v>
      </c>
      <c r="D7" s="8" t="n">
        <v>15</v>
      </c>
      <c r="E7" s="7" t="n">
        <f aca="false">C7*$B$4+D7</f>
        <v>30</v>
      </c>
      <c r="F7" s="9" t="n">
        <v>8</v>
      </c>
      <c r="G7" s="10" t="n">
        <f aca="false">E7*F7</f>
        <v>240</v>
      </c>
      <c r="H7" s="11" t="s">
        <v>13</v>
      </c>
    </row>
    <row r="8" customFormat="false" ht="22.35" hidden="false" customHeight="false" outlineLevel="0" collapsed="false">
      <c r="A8" s="6" t="s">
        <v>14</v>
      </c>
      <c r="B8" s="7" t="s">
        <v>15</v>
      </c>
      <c r="C8" s="8" t="n">
        <v>1</v>
      </c>
      <c r="D8" s="8" t="n">
        <v>5</v>
      </c>
      <c r="E8" s="7" t="n">
        <f aca="false">C8*$B$4+D8</f>
        <v>20</v>
      </c>
      <c r="F8" s="9" t="n">
        <v>12</v>
      </c>
      <c r="G8" s="10" t="n">
        <f aca="false">E8*F8</f>
        <v>240</v>
      </c>
      <c r="H8" s="11" t="s">
        <v>16</v>
      </c>
    </row>
    <row r="9" customFormat="false" ht="15" hidden="false" customHeight="false" outlineLevel="0" collapsed="false">
      <c r="A9" s="6" t="s">
        <v>17</v>
      </c>
      <c r="B9" s="7" t="s">
        <v>18</v>
      </c>
      <c r="C9" s="8" t="n">
        <v>1</v>
      </c>
      <c r="D9" s="8" t="n">
        <v>30</v>
      </c>
      <c r="E9" s="7" t="n">
        <f aca="false">C9*$B$4+D9</f>
        <v>45</v>
      </c>
      <c r="F9" s="9" t="n">
        <v>3</v>
      </c>
      <c r="G9" s="10" t="n">
        <f aca="false">E9*F9</f>
        <v>135</v>
      </c>
      <c r="H9" s="11" t="s">
        <v>19</v>
      </c>
    </row>
    <row r="10" customFormat="false" ht="15" hidden="false" customHeight="false" outlineLevel="0" collapsed="false">
      <c r="A10" s="6" t="s">
        <v>20</v>
      </c>
      <c r="B10" s="7" t="s">
        <v>21</v>
      </c>
      <c r="C10" s="8" t="n">
        <v>1</v>
      </c>
      <c r="D10" s="8" t="n">
        <v>30</v>
      </c>
      <c r="E10" s="7" t="n">
        <f aca="false">C10*$B$4+D10</f>
        <v>45</v>
      </c>
      <c r="F10" s="9" t="n">
        <v>3</v>
      </c>
      <c r="G10" s="10" t="n">
        <f aca="false">E10*F10</f>
        <v>135</v>
      </c>
      <c r="H10" s="11" t="s">
        <v>22</v>
      </c>
    </row>
    <row r="11" customFormat="false" ht="15" hidden="false" customHeight="false" outlineLevel="0" collapsed="false">
      <c r="A11" s="6" t="s">
        <v>23</v>
      </c>
      <c r="B11" s="7" t="s">
        <v>24</v>
      </c>
      <c r="C11" s="8" t="n">
        <v>1</v>
      </c>
      <c r="D11" s="8" t="n">
        <v>5</v>
      </c>
      <c r="E11" s="7" t="n">
        <f aca="false">C11*$B$4+D11</f>
        <v>20</v>
      </c>
      <c r="F11" s="9" t="n">
        <v>8</v>
      </c>
      <c r="G11" s="10" t="n">
        <f aca="false">E11*F11</f>
        <v>160</v>
      </c>
      <c r="H11" s="11" t="s">
        <v>25</v>
      </c>
    </row>
    <row r="12" customFormat="false" ht="15" hidden="false" customHeight="false" outlineLevel="0" collapsed="false">
      <c r="A12" s="6" t="s">
        <v>26</v>
      </c>
      <c r="B12" s="7" t="s">
        <v>27</v>
      </c>
      <c r="C12" s="8" t="n">
        <v>1</v>
      </c>
      <c r="D12" s="8" t="n">
        <v>3</v>
      </c>
      <c r="E12" s="7" t="n">
        <f aca="false">C12*$B$4+D12</f>
        <v>18</v>
      </c>
      <c r="F12" s="9" t="n">
        <v>11</v>
      </c>
      <c r="G12" s="10" t="n">
        <f aca="false">E12*F12</f>
        <v>198</v>
      </c>
      <c r="H12" s="11" t="s">
        <v>28</v>
      </c>
    </row>
    <row r="13" customFormat="false" ht="15" hidden="false" customHeight="false" outlineLevel="0" collapsed="false">
      <c r="A13" s="6" t="s">
        <v>29</v>
      </c>
      <c r="B13" s="7" t="s">
        <v>30</v>
      </c>
      <c r="C13" s="8" t="n">
        <v>1</v>
      </c>
      <c r="D13" s="8" t="n">
        <v>3</v>
      </c>
      <c r="E13" s="7" t="n">
        <f aca="false">C13*$B$4+D13</f>
        <v>18</v>
      </c>
      <c r="F13" s="9" t="n">
        <v>4</v>
      </c>
      <c r="G13" s="10" t="n">
        <f aca="false">E13*F13</f>
        <v>72</v>
      </c>
      <c r="H13" s="11" t="s">
        <v>31</v>
      </c>
    </row>
    <row r="14" customFormat="false" ht="22.35" hidden="false" customHeight="false" outlineLevel="0" collapsed="false">
      <c r="A14" s="6" t="s">
        <v>32</v>
      </c>
      <c r="B14" s="7" t="s">
        <v>33</v>
      </c>
      <c r="C14" s="8" t="n">
        <v>1</v>
      </c>
      <c r="D14" s="8" t="n">
        <v>1</v>
      </c>
      <c r="E14" s="7" t="n">
        <f aca="false">C14*$B$4+D14</f>
        <v>16</v>
      </c>
      <c r="F14" s="9" t="n">
        <v>23</v>
      </c>
      <c r="G14" s="10" t="n">
        <f aca="false">E14*F14</f>
        <v>368</v>
      </c>
      <c r="H14" s="11" t="s">
        <v>34</v>
      </c>
    </row>
    <row r="15" customFormat="false" ht="15" hidden="false" customHeight="false" outlineLevel="0" collapsed="false">
      <c r="A15" s="6" t="s">
        <v>35</v>
      </c>
      <c r="B15" s="7" t="s">
        <v>36</v>
      </c>
      <c r="C15" s="8" t="n">
        <v>1</v>
      </c>
      <c r="D15" s="8" t="n">
        <v>3</v>
      </c>
      <c r="E15" s="7" t="n">
        <f aca="false">C15*$B$4+D15</f>
        <v>18</v>
      </c>
      <c r="F15" s="9" t="n">
        <v>6</v>
      </c>
      <c r="G15" s="10" t="n">
        <f aca="false">E15*F15</f>
        <v>108</v>
      </c>
      <c r="H15" s="11" t="s">
        <v>37</v>
      </c>
    </row>
    <row r="16" customFormat="false" ht="15" hidden="false" customHeight="false" outlineLevel="0" collapsed="false">
      <c r="A16" s="6" t="s">
        <v>38</v>
      </c>
      <c r="B16" s="7" t="s">
        <v>39</v>
      </c>
      <c r="C16" s="8" t="n">
        <v>1</v>
      </c>
      <c r="D16" s="8" t="n">
        <v>0</v>
      </c>
      <c r="E16" s="7" t="n">
        <f aca="false">C16*$B$4+D16</f>
        <v>15</v>
      </c>
      <c r="F16" s="9" t="n">
        <v>8</v>
      </c>
      <c r="G16" s="10" t="n">
        <f aca="false">E16*F16</f>
        <v>120</v>
      </c>
      <c r="H16" s="11" t="s">
        <v>40</v>
      </c>
    </row>
    <row r="17" customFormat="false" ht="23.85" hidden="false" customHeight="false" outlineLevel="0" collapsed="false">
      <c r="A17" s="6" t="s">
        <v>41</v>
      </c>
      <c r="B17" s="7" t="s">
        <v>42</v>
      </c>
      <c r="C17" s="8" t="n">
        <v>1</v>
      </c>
      <c r="D17" s="8" t="n">
        <v>0</v>
      </c>
      <c r="E17" s="7" t="n">
        <f aca="false">C17*$B$4+D17</f>
        <v>15</v>
      </c>
      <c r="F17" s="9" t="n">
        <v>25</v>
      </c>
      <c r="G17" s="10" t="n">
        <f aca="false">E17*F17</f>
        <v>375</v>
      </c>
      <c r="H17" s="11" t="s">
        <v>43</v>
      </c>
    </row>
    <row r="18" customFormat="false" ht="15" hidden="false" customHeight="false" outlineLevel="0" collapsed="false">
      <c r="A18" s="6" t="s">
        <v>44</v>
      </c>
      <c r="B18" s="7" t="s">
        <v>45</v>
      </c>
      <c r="C18" s="8" t="n">
        <v>1</v>
      </c>
      <c r="D18" s="8" t="n">
        <v>5</v>
      </c>
      <c r="E18" s="7" t="n">
        <f aca="false">C18*$B$4+D18</f>
        <v>20</v>
      </c>
      <c r="F18" s="9" t="n">
        <v>5</v>
      </c>
      <c r="G18" s="10" t="n">
        <f aca="false">E18*F18</f>
        <v>100</v>
      </c>
      <c r="H18" s="11" t="s">
        <v>46</v>
      </c>
    </row>
    <row r="19" customFormat="false" ht="15" hidden="false" customHeight="false" outlineLevel="0" collapsed="false">
      <c r="A19" s="6" t="s">
        <v>47</v>
      </c>
      <c r="B19" s="7" t="s">
        <v>48</v>
      </c>
      <c r="C19" s="8" t="n">
        <v>1</v>
      </c>
      <c r="D19" s="8" t="n">
        <v>0</v>
      </c>
      <c r="E19" s="7" t="n">
        <f aca="false">C19*$B$4+D19</f>
        <v>15</v>
      </c>
      <c r="F19" s="9" t="n">
        <v>12</v>
      </c>
      <c r="G19" s="10" t="n">
        <f aca="false">E19*F19</f>
        <v>180</v>
      </c>
      <c r="H19" s="11" t="s">
        <v>49</v>
      </c>
    </row>
    <row r="20" customFormat="false" ht="15" hidden="false" customHeight="false" outlineLevel="0" collapsed="false">
      <c r="A20" s="12" t="s">
        <v>50</v>
      </c>
      <c r="B20" s="13" t="s">
        <v>51</v>
      </c>
      <c r="C20" s="14"/>
      <c r="D20" s="14"/>
      <c r="E20" s="14"/>
      <c r="F20" s="15" t="n">
        <v>60</v>
      </c>
      <c r="G20" s="16" t="n">
        <f aca="false">F20</f>
        <v>60</v>
      </c>
      <c r="H20" s="14"/>
    </row>
    <row r="22" customFormat="false" ht="15" hidden="false" customHeight="false" outlineLevel="0" collapsed="false">
      <c r="F22" s="17" t="s">
        <v>52</v>
      </c>
      <c r="G22" s="18" t="n">
        <f aca="false">SUM(G7:G20)</f>
        <v>2491</v>
      </c>
    </row>
    <row r="24" customFormat="false" ht="15" hidden="false" customHeight="false" outlineLevel="0" collapsed="false">
      <c r="A24" s="19" t="s">
        <v>53</v>
      </c>
    </row>
    <row r="25" customFormat="false" ht="22.35" hidden="false" customHeight="false" outlineLevel="0" collapsed="false">
      <c r="A25" s="6" t="s">
        <v>54</v>
      </c>
      <c r="B25" s="7" t="s">
        <v>55</v>
      </c>
      <c r="C25" s="20"/>
      <c r="D25" s="20"/>
      <c r="E25" s="7" t="s">
        <v>56</v>
      </c>
      <c r="F25" s="9" t="n">
        <v>24</v>
      </c>
      <c r="G25" s="10" t="n">
        <f aca="false">F25</f>
        <v>24</v>
      </c>
      <c r="H25" s="11" t="s">
        <v>57</v>
      </c>
    </row>
    <row r="26" customFormat="false" ht="15" hidden="false" customHeight="false" outlineLevel="0" collapsed="false">
      <c r="A26" s="6" t="s">
        <v>58</v>
      </c>
      <c r="B26" s="7" t="s">
        <v>59</v>
      </c>
      <c r="C26" s="20"/>
      <c r="D26" s="20"/>
      <c r="E26" s="7" t="s">
        <v>60</v>
      </c>
      <c r="F26" s="9" t="n">
        <v>45</v>
      </c>
      <c r="G26" s="10" t="n">
        <f aca="false">F26</f>
        <v>45</v>
      </c>
      <c r="H26" s="11" t="s">
        <v>61</v>
      </c>
    </row>
    <row r="27" customFormat="false" ht="15" hidden="false" customHeight="false" outlineLevel="0" collapsed="false">
      <c r="A27" s="6" t="s">
        <v>62</v>
      </c>
      <c r="B27" s="7" t="s">
        <v>63</v>
      </c>
      <c r="C27" s="20"/>
      <c r="D27" s="20"/>
      <c r="E27" s="7" t="s">
        <v>64</v>
      </c>
      <c r="F27" s="9" t="n">
        <v>50</v>
      </c>
      <c r="G27" s="10" t="n">
        <f aca="false">F27</f>
        <v>50</v>
      </c>
      <c r="H27" s="11" t="s">
        <v>65</v>
      </c>
    </row>
    <row r="28" customFormat="false" ht="15" hidden="false" customHeight="false" outlineLevel="0" collapsed="false">
      <c r="A28" s="6" t="s">
        <v>66</v>
      </c>
      <c r="B28" s="7" t="s">
        <v>67</v>
      </c>
      <c r="C28" s="20"/>
      <c r="D28" s="20"/>
      <c r="E28" s="7" t="s">
        <v>68</v>
      </c>
      <c r="F28" s="9" t="n">
        <v>450</v>
      </c>
      <c r="G28" s="10" t="n">
        <f aca="false">F28</f>
        <v>450</v>
      </c>
      <c r="H28" s="11" t="s">
        <v>69</v>
      </c>
    </row>
    <row r="29" customFormat="false" ht="15" hidden="false" customHeight="false" outlineLevel="0" collapsed="false">
      <c r="F29" s="17" t="s">
        <v>70</v>
      </c>
      <c r="G29" s="21" t="n">
        <f aca="false">SUM(G25:G28)</f>
        <v>569</v>
      </c>
    </row>
    <row r="31" customFormat="false" ht="15" hidden="false" customHeight="false" outlineLevel="0" collapsed="false">
      <c r="F31" s="17" t="s">
        <v>71</v>
      </c>
      <c r="G31" s="21" t="n">
        <f aca="false">G22+G29</f>
        <v>3060</v>
      </c>
    </row>
    <row r="33" customFormat="false" ht="15" hidden="false" customHeight="false" outlineLevel="0" collapsed="false">
      <c r="A33" s="3" t="s">
        <v>72</v>
      </c>
    </row>
    <row r="34" customFormat="false" ht="15" hidden="false" customHeight="false" outlineLevel="0" collapsed="false">
      <c r="A34" s="22" t="s">
        <v>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2026-07-14T20:14:59Z</dcterms:created>
  <dc:creator>openpyxl</dc:creator>
  <dc:description/>
  <dc:language>en-US</dc:language>
  <cp:lastModifiedBy/>
  <dcterms:modified xsi:type="dcterms:W3CDTF">2026-07-14T20:14:59Z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